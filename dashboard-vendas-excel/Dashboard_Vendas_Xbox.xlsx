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SONDA\Downloads\D\Excel com inteligencia Artificial\"/>
    </mc:Choice>
  </mc:AlternateContent>
  <bookViews>
    <workbookView xWindow="-120" yWindow="-120" windowWidth="20730" windowHeight="11040" tabRatio="0" firstSheet="5" activeTab="5"/>
  </bookViews>
  <sheets>
    <sheet name="A̳ssets" sheetId="1" state="hidden" r:id="rId1"/>
    <sheet name="B̳ases" sheetId="2" state="hidden" r:id="rId2"/>
    <sheet name="Plan1" sheetId="6" state="hidden" r:id="rId3"/>
    <sheet name="Calculos" sheetId="5" state="hidden" r:id="rId4"/>
    <sheet name="Gráf1" sheetId="7" r:id="rId5"/>
    <sheet name="D̳ashboard" sheetId="4" r:id="rId6"/>
  </sheets>
  <definedNames>
    <definedName name="SegmentaçãodeDados_Subscription_Type">#N/A</definedName>
  </definedNames>
  <calcPr calcId="152511"/>
  <pivotCaches>
    <pivotCache cacheId="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5" l="1"/>
  <c r="E23" i="5"/>
</calcChain>
</file>

<file path=xl/sharedStrings.xml><?xml version="1.0" encoding="utf-8"?>
<sst xmlns="http://schemas.openxmlformats.org/spreadsheetml/2006/main" count="2197" uniqueCount="325">
  <si>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</si>
  <si>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</si>
  <si>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</si>
  <si>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</si>
  <si>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</si>
  <si>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</si>
  <si>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</si>
  <si>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</si>
  <si>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</si>
  <si>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</si>
  <si>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</si>
  <si>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</si>
  <si>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</si>
  <si>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</si>
  <si>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</si>
  <si>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</si>
  <si>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</si>
  <si>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</si>
  <si>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</si>
  <si>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</si>
  <si>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</si>
  <si>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</si>
  <si>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</si>
  <si>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</si>
  <si>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</si>
  <si>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</si>
  <si>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</si>
  <si>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</si>
  <si>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</si>
  <si>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</si>
  <si>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</si>
  <si>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</si>
  <si>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</si>
  <si>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</si>
  <si>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</si>
  <si>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</si>
  <si>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</si>
  <si>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</si>
  <si>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</si>
  <si>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</si>
  <si>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</si>
  <si>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</si>
  <si>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</si>
  <si>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</si>
  <si>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</si>
  <si>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</si>
  <si>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</si>
  <si>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</si>
  <si>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</si>
  <si>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</si>
  <si>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</si>
  <si>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</si>
  <si>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</si>
  <si>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</si>
  <si>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</si>
  <si>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</si>
  <si>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</si>
  <si>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</si>
  <si>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</si>
  <si>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</si>
  <si>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</si>
  <si>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</si>
  <si>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</si>
  <si>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</si>
  <si>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</si>
  <si>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</si>
  <si>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</si>
  <si>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</si>
  <si>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</si>
  <si>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</si>
  <si>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</si>
  <si>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</si>
  <si>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</si>
  <si>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</si>
  <si>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</si>
  <si>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</si>
  <si>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</si>
  <si>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</si>
  <si>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</si>
  <si>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</si>
  <si>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</si>
  <si>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</si>
  <si>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</si>
  <si>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</si>
  <si>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</si>
  <si>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</si>
  <si>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</si>
  <si>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</si>
  <si>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</si>
  <si>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</si>
  <si>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</si>
  <si>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</si>
  <si>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</si>
  <si>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</si>
  <si>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</si>
  <si>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</si>
  <si>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</si>
  <si>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</si>
  <si>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</si>
  <si>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</si>
  <si>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</si>
  <si>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</si>
  <si>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</si>
  <si>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</si>
  <si>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</si>
  <si>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</si>
  <si>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</si>
  <si>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</si>
  <si>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</si>
  <si>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</si>
  <si>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</si>
  <si>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</si>
  <si>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</si>
  <si>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</si>
  <si>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</si>
  <si>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</si>
  <si>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</si>
  <si>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</si>
  <si>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</si>
  <si>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</si>
  <si>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</si>
  <si>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</si>
  <si>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</si>
  <si>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</si>
  <si>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</si>
  <si>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</si>
  <si>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</si>
  <si>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</si>
  <si>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</si>
  <si>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</si>
  <si>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</si>
  <si>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</si>
  <si>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</si>
  <si>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</si>
  <si>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</si>
  <si>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</si>
  <si>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</si>
  <si>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</si>
  <si>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</si>
  <si>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</si>
  <si>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</si>
  <si>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</si>
  <si>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</si>
  <si>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</si>
  <si>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</si>
  <si>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</si>
  <si>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</si>
  <si>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</si>
  <si>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</si>
  <si>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</si>
  <si>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</si>
  <si>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</si>
  <si>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</si>
  <si>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</si>
  <si>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</si>
  <si>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</si>
  <si>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</si>
  <si>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</si>
  <si>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</si>
  <si>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</si>
  <si>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</si>
  <si>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</si>
  <si>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</si>
  <si>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</si>
  <si>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</si>
  <si>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</si>
  <si>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</si>
  <si>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</si>
  <si>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</si>
  <si>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</si>
  <si>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</si>
  <si>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</si>
  <si>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</si>
  <si>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</si>
  <si>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</si>
  <si>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</si>
  <si>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</si>
  <si>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</si>
  <si>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</si>
  <si>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</si>
  <si>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</si>
  <si>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</si>
  <si>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</si>
  <si>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</si>
  <si>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</si>
  <si>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</si>
  <si>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</si>
  <si>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</si>
  <si>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</si>
  <si>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</si>
  <si>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</si>
  <si>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</si>
  <si>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</si>
  <si>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</si>
  <si>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</si>
  <si>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</si>
  <si>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</si>
  <si>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</si>
  <si>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</si>
  <si>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</si>
  <si>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</si>
  <si>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</si>
  <si>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</si>
  <si>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</si>
  <si>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</si>
  <si>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</si>
  <si>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</si>
  <si>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</si>
  <si>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</si>
  <si>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</si>
  <si>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</si>
  <si>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</si>
  <si>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</si>
  <si>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</si>
  <si>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</si>
  <si>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</si>
  <si>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</si>
  <si>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</si>
  <si>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</si>
  <si>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</si>
  <si>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</si>
  <si>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</si>
  <si>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</si>
  <si>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</si>
  <si>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</si>
  <si>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</si>
  <si>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</si>
  <si>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</si>
  <si>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</si>
  <si>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</si>
  <si>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</si>
  <si>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</si>
  <si>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</si>
  <si>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</si>
  <si>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</si>
  <si>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</si>
  <si>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</si>
  <si>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</si>
  <si>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</si>
  <si>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</si>
  <si>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</si>
  <si>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</si>
  <si>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</si>
  <si>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</si>
  <si>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</si>
  <si>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</si>
  <si>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</si>
  <si>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</si>
  <si>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</si>
  <si>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</si>
  <si>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</si>
  <si>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</si>
  <si>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</si>
  <si>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</si>
  <si>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</si>
  <si>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</si>
  <si>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</si>
  <si>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</si>
  <si>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</si>
  <si>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</si>
  <si>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</si>
  <si>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</si>
  <si>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</si>
  <si>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</si>
  <si>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</si>
  <si>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</si>
  <si>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</si>
  <si>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</si>
  <si>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</si>
  <si>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</si>
  <si>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</si>
  <si>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</si>
  <si>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</si>
  <si>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</si>
  <si>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</si>
  <si>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</si>
  <si>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</si>
  <si>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</si>
  <si>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</si>
  <si>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</si>
  <si>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</si>
  <si>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</si>
  <si>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</si>
  <si>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</si>
  <si>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</si>
  <si>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</si>
  <si>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</si>
  <si>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</si>
  <si>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</si>
  <si>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</si>
  <si>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</si>
  <si>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</si>
  <si>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</si>
  <si>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</si>
  <si>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</si>
  <si>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</si>
  <si>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</si>
  <si>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</si>
  <si>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</si>
  <si>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</si>
  <si>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</si>
  <si>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</si>
  <si>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</si>
  <si>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</si>
  <si>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</si>
  <si>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</si>
  <si>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</si>
  <si>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</si>
  <si>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</si>
  <si>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</si>
  <si>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</si>
  <si>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</si>
  <si>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</si>
  <si>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</t>
  </si>
  <si>
    <t>Rótulos de Linha</t>
  </si>
  <si>
    <t>Total Geral</t>
  </si>
  <si>
    <t>Soma de Total Value</t>
  </si>
  <si>
    <r>
      <rPr>
        <b/>
        <sz val="12"/>
        <color theme="1"/>
        <rFont val="Calibri"/>
        <family val="2"/>
      </rPr>
      <t xml:space="preserve">Pergunta de Negócio 1: </t>
    </r>
    <r>
      <rPr>
        <sz val="12"/>
        <color theme="1"/>
        <rFont val="Calibri"/>
        <family val="2"/>
      </rPr>
      <t xml:space="preserve">Qual faturamento </t>
    </r>
    <r>
      <rPr>
        <b/>
        <sz val="12"/>
        <color theme="1"/>
        <rFont val="Calibri"/>
        <family val="2"/>
      </rPr>
      <t>Total de Vendas</t>
    </r>
    <r>
      <rPr>
        <sz val="12"/>
        <color theme="1"/>
        <rFont val="Calibri"/>
        <family val="2"/>
      </rPr>
      <t xml:space="preserve"> de </t>
    </r>
    <r>
      <rPr>
        <b/>
        <sz val="12"/>
        <color theme="1"/>
        <rFont val="Calibri"/>
        <family val="2"/>
      </rPr>
      <t>planos anuais</t>
    </r>
    <r>
      <rPr>
        <sz val="12"/>
        <color theme="1"/>
        <rFont val="Calibri"/>
        <family val="2"/>
      </rPr>
      <t xml:space="preserve"> (contendo todas as assinaturas agregadas)</t>
    </r>
  </si>
  <si>
    <r>
      <rPr>
        <b/>
        <sz val="12"/>
        <color theme="1"/>
        <rFont val="Calibri"/>
        <family val="2"/>
      </rPr>
      <t>Pergunta de Negócio 2:</t>
    </r>
    <r>
      <rPr>
        <sz val="12"/>
        <color theme="1"/>
        <rFont val="Calibri"/>
        <family val="2"/>
      </rPr>
      <t xml:space="preserve"> Qual faturamento </t>
    </r>
    <r>
      <rPr>
        <b/>
        <sz val="12"/>
        <color theme="1"/>
        <rFont val="Calibri"/>
        <family val="2"/>
      </rPr>
      <t>Total de Vendas</t>
    </r>
    <r>
      <rPr>
        <sz val="12"/>
        <color theme="1"/>
        <rFont val="Calibri"/>
        <family val="2"/>
      </rPr>
      <t xml:space="preserve"> de </t>
    </r>
    <r>
      <rPr>
        <b/>
        <sz val="12"/>
        <color theme="1"/>
        <rFont val="Calibri"/>
        <family val="2"/>
      </rPr>
      <t xml:space="preserve">planos anuais </t>
    </r>
    <r>
      <rPr>
        <sz val="12"/>
        <color theme="1"/>
        <rFont val="Calibri"/>
        <family val="2"/>
      </rPr>
      <t>separado por auto renovação ou que não é por auto renovação</t>
    </r>
  </si>
  <si>
    <t>Soma de EA Play Season Pass</t>
  </si>
  <si>
    <r>
      <rPr>
        <b/>
        <sz val="11"/>
        <color theme="1"/>
        <rFont val="Aptos Narrow"/>
        <scheme val="minor"/>
      </rPr>
      <t>Pergunta de Negócio 3: 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scheme val="minor"/>
      </rPr>
      <t>EA Play Season Pass</t>
    </r>
  </si>
  <si>
    <r>
      <rPr>
        <b/>
        <sz val="11"/>
        <color theme="1"/>
        <rFont val="Aptos Narrow"/>
        <scheme val="minor"/>
      </rPr>
      <t>Pergunta de Negócio 4:</t>
    </r>
    <r>
      <rPr>
        <sz val="11"/>
        <color theme="1"/>
        <rFont val="Aptos Narrow"/>
        <family val="2"/>
        <scheme val="minor"/>
      </rPr>
      <t xml:space="preserve"> Total de Vendas de assinaturas do </t>
    </r>
    <r>
      <rPr>
        <b/>
        <sz val="11"/>
        <color theme="1"/>
        <rFont val="Aptos Narrow"/>
        <scheme val="minor"/>
      </rPr>
      <t>Minecraft Season Pass</t>
    </r>
  </si>
  <si>
    <t>Soma de Minecraft Season Pass Price</t>
  </si>
  <si>
    <t xml:space="preserve">Calculation period: 01/01/2024 - 31/12/2024 | Update date: 25/12/2024 09:00:00
</t>
  </si>
  <si>
    <t xml:space="preserve">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</si>
</sst>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5" formatCode="&quot;R$&quot;\ #,##0.00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3"/>
      <name val="Segoe MDL2 Assets"/>
      <family val="1"/>
    </font>
    <font>
      <b/>
      <sz val="20"/>
      <color rgb="FF00B050"/>
      <name val="Segoe MDL2 Assets"/>
      <family val="1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20"/>
      <color rgb="FF00B050"/>
      <name val="Segoe UI"/>
      <family val="2"/>
    </font>
    <font>
      <b/>
      <sz val="11"/>
      <color rgb="FFFF0000"/>
      <name val="Segoe UI"/>
      <family val="2"/>
    </font>
    <font>
      <sz val="12"/>
      <color theme="0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206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44" fontId="0" fillId="0" borderId="0" xfId="0" applyNumberFormat="1"/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8" borderId="0" xfId="0" applyFill="1"/>
    <xf numFmtId="0" fontId="10" fillId="0" borderId="0" xfId="0" applyFont="1"/>
    <xf numFmtId="14" fontId="0" fillId="0" borderId="0" xfId="0" applyNumberFormat="1"/>
    <xf numFmtId="165" fontId="0" fillId="0" borderId="0" xfId="0" applyNumberFormat="1"/>
    <xf numFmtId="0" fontId="12" fillId="8" borderId="0" xfId="0" applyFont="1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2" xfId="1" applyFont="1" applyBorder="1" applyAlignment="1">
      <alignment vertical="center"/>
    </xf>
    <xf numFmtId="0" fontId="11" fillId="0" borderId="2" xfId="1" applyFont="1" applyBorder="1" applyAlignment="1"/>
    <xf numFmtId="0" fontId="7" fillId="0" borderId="2" xfId="1" applyFont="1" applyBorder="1" applyAlignment="1">
      <alignment vertical="center"/>
    </xf>
    <xf numFmtId="0" fontId="0" fillId="0" borderId="2" xfId="0" applyBorder="1" applyAlignment="1">
      <alignment vertical="center"/>
    </xf>
    <xf numFmtId="0" fontId="10" fillId="0" borderId="0" xfId="0" applyFont="1" applyAlignment="1">
      <alignment horizontal="left"/>
    </xf>
    <xf numFmtId="0" fontId="13" fillId="8" borderId="0" xfId="0" applyFont="1" applyFill="1"/>
    <xf numFmtId="0" fontId="13" fillId="8" borderId="0" xfId="0" applyFont="1" applyFill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20"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1"/>
      </font>
      <fill>
        <gradientFill degree="90">
          <stop position="0">
            <color rgb="FF5BF6A8"/>
          </stop>
          <stop position="1">
            <color rgb="FF5BF6A8"/>
          </stop>
        </gradientFill>
      </fill>
      <border>
        <bottom style="thin">
          <color rgb="FF4F81BD"/>
        </bottom>
        <vertical/>
        <horizontal/>
      </border>
    </dxf>
    <dxf>
      <font>
        <color theme="1"/>
      </font>
      <fill>
        <gradientFill degree="90">
          <stop position="0">
            <color rgb="FF5BF6A8"/>
          </stop>
          <stop position="1">
            <color rgb="FF5BF6A8"/>
          </stop>
        </gradient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2 2" pivot="0" table="0" count="10">
      <tableStyleElement type="wholeTable" dxfId="19"/>
      <tableStyleElement type="headerRow" dxfId="18"/>
    </tableStyle>
  </tableStyles>
  <colors>
    <mruColors>
      <color rgb="FF33CC33"/>
      <color rgb="FFA8E6D7"/>
      <color rgb="FF5BF6A8"/>
      <color rgb="FFE0E0E0"/>
      <color rgb="FFFFFFFF"/>
      <color rgb="FF22C55E"/>
      <color rgb="FFE8E6E9"/>
      <color rgb="FF00000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A8E6D7"/>
              </stop>
              <stop position="1">
                <color rgb="FF33CC33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A8E6D7"/>
              </stop>
              <stop position="1">
                <color rgb="FF33CC33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A8E6D7"/>
              </stop>
              <stop position="1">
                <color rgb="FF33CC33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A8E6D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D̳ashboard!$C$4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10286112"/>
        <c:axId val="-411285440"/>
      </c:barChart>
      <c:catAx>
        <c:axId val="-710286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11285440"/>
        <c:crosses val="autoZero"/>
        <c:auto val="1"/>
        <c:lblAlgn val="ctr"/>
        <c:lblOffset val="100"/>
        <c:noMultiLvlLbl val="0"/>
      </c:catAx>
      <c:valAx>
        <c:axId val="-4112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1028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[805d54f9-6d53-4246-bed7-4aa2da615923.xlsx]Calculos!tbl_annual_total1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33CC3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A8E6D7"/>
          </a:solidFill>
          <a:ln>
            <a:noFill/>
          </a:ln>
          <a:effectLst/>
        </c:spPr>
      </c:pivotFmt>
      <c:pivotFmt>
        <c:idx val="4"/>
        <c:spPr>
          <a:solidFill>
            <a:srgbClr val="A8E6D7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1909105689515254E-2"/>
          <c:y val="3.5953541622195412E-2"/>
          <c:w val="0.81163048174383867"/>
          <c:h val="0.796783347184938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D7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A8E6D7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33CC3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406576560"/>
        <c:axId val="-406586352"/>
      </c:barChart>
      <c:catAx>
        <c:axId val="-40657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-406586352"/>
        <c:crosses val="autoZero"/>
        <c:auto val="1"/>
        <c:lblAlgn val="ctr"/>
        <c:lblOffset val="100"/>
        <c:noMultiLvlLbl val="0"/>
      </c:catAx>
      <c:valAx>
        <c:axId val="-4065863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-40657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2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72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72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5952" cy="5972024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136073</xdr:colOff>
      <xdr:row>0</xdr:row>
      <xdr:rowOff>176892</xdr:rowOff>
    </xdr:from>
    <xdr:to>
      <xdr:col>2</xdr:col>
      <xdr:colOff>357190</xdr:colOff>
      <xdr:row>2</xdr:row>
      <xdr:rowOff>176893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9" t="21359" r="71294" b="18829"/>
        <a:stretch/>
      </xdr:blipFill>
      <xdr:spPr>
        <a:xfrm>
          <a:off x="2027466" y="176892"/>
          <a:ext cx="710974" cy="57150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201726</xdr:rowOff>
    </xdr:from>
    <xdr:to>
      <xdr:col>0</xdr:col>
      <xdr:colOff>1872000</xdr:colOff>
      <xdr:row>20</xdr:row>
      <xdr:rowOff>7101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54301"/>
              <a:ext cx="1872000" cy="257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345789</xdr:colOff>
      <xdr:row>4</xdr:row>
      <xdr:rowOff>113959</xdr:rowOff>
    </xdr:from>
    <xdr:to>
      <xdr:col>7</xdr:col>
      <xdr:colOff>479889</xdr:colOff>
      <xdr:row>10</xdr:row>
      <xdr:rowOff>49984</xdr:rowOff>
    </xdr:to>
    <xdr:grpSp>
      <xdr:nvGrpSpPr>
        <xdr:cNvPr id="25" name="Grupo 24"/>
        <xdr:cNvGrpSpPr/>
      </xdr:nvGrpSpPr>
      <xdr:grpSpPr>
        <a:xfrm>
          <a:off x="2231739" y="1304584"/>
          <a:ext cx="3906000" cy="1260000"/>
          <a:chOff x="2332433" y="984817"/>
          <a:chExt cx="3888000" cy="1241993"/>
        </a:xfrm>
      </xdr:grpSpPr>
      <xdr:sp macro="" textlink="">
        <xdr:nvSpPr>
          <xdr:cNvPr id="8" name="Retângulo de cantos arredondados 7"/>
          <xdr:cNvSpPr/>
        </xdr:nvSpPr>
        <xdr:spPr>
          <a:xfrm>
            <a:off x="2332433" y="1125311"/>
            <a:ext cx="3888000" cy="10800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E23">
        <xdr:nvSpPr>
          <xdr:cNvPr id="6" name="Retângulo de cantos arredondados 5"/>
          <xdr:cNvSpPr/>
        </xdr:nvSpPr>
        <xdr:spPr>
          <a:xfrm>
            <a:off x="4449536" y="1236810"/>
            <a:ext cx="1620000" cy="900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A220990-4571-4F9F-B01A-90065D43504E}" type="TxLink">
              <a:rPr lang="en-US" sz="2000" b="0" i="0" u="none" strike="noStrike">
                <a:solidFill>
                  <a:srgbClr val="33CC33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2000" b="0">
              <a:solidFill>
                <a:srgbClr val="33CC33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="" xmlns:a16="http://schemas.microsoft.com/office/drawing/2014/main" id="{34E653DD-5BBB-B7D9-BDBD-2F59393458E2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75858" y="1146810"/>
            <a:ext cx="1260000" cy="1080000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2332433" y="984817"/>
            <a:ext cx="3888000" cy="366015"/>
          </a:xfrm>
          <a:prstGeom prst="round2Same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8</xdr:col>
      <xdr:colOff>27215</xdr:colOff>
      <xdr:row>4</xdr:row>
      <xdr:rowOff>113958</xdr:rowOff>
    </xdr:from>
    <xdr:to>
      <xdr:col>13</xdr:col>
      <xdr:colOff>647090</xdr:colOff>
      <xdr:row>10</xdr:row>
      <xdr:rowOff>49983</xdr:rowOff>
    </xdr:to>
    <xdr:grpSp>
      <xdr:nvGrpSpPr>
        <xdr:cNvPr id="29" name="Grupo 28"/>
        <xdr:cNvGrpSpPr/>
      </xdr:nvGrpSpPr>
      <xdr:grpSpPr>
        <a:xfrm>
          <a:off x="6342290" y="1304583"/>
          <a:ext cx="3906000" cy="1260000"/>
          <a:chOff x="6422572" y="991608"/>
          <a:chExt cx="3888000" cy="1225309"/>
        </a:xfrm>
      </xdr:grpSpPr>
      <xdr:sp macro="" textlink="">
        <xdr:nvSpPr>
          <xdr:cNvPr id="21" name="Retângulo de cantos arredondados 20"/>
          <xdr:cNvSpPr/>
        </xdr:nvSpPr>
        <xdr:spPr>
          <a:xfrm>
            <a:off x="6422572" y="1136917"/>
            <a:ext cx="3888000" cy="10800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8" name="Grupo 27"/>
          <xdr:cNvGrpSpPr/>
        </xdr:nvGrpSpPr>
        <xdr:grpSpPr>
          <a:xfrm>
            <a:off x="6422572" y="991608"/>
            <a:ext cx="3888000" cy="1135309"/>
            <a:chOff x="6422572" y="991608"/>
            <a:chExt cx="3888000" cy="1135309"/>
          </a:xfrm>
        </xdr:grpSpPr>
        <xdr:sp macro="" textlink="">
          <xdr:nvSpPr>
            <xdr:cNvPr id="22" name="Arredondar Retângulo no Mesmo Canto Lateral 21"/>
            <xdr:cNvSpPr/>
          </xdr:nvSpPr>
          <xdr:spPr>
            <a:xfrm>
              <a:off x="6422572" y="991608"/>
              <a:ext cx="3888000" cy="366098"/>
            </a:xfrm>
            <a:prstGeom prst="round2Same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  <xdr:grpSp>
          <xdr:nvGrpSpPr>
            <xdr:cNvPr id="18" name="Agrupar 16">
              <a:extLst>
                <a:ext uri="{FF2B5EF4-FFF2-40B4-BE49-F238E27FC236}">
                  <a16:creationId xmlns="" xmlns:a16="http://schemas.microsoft.com/office/drawing/2014/main" id="{A71E6AF1-ADEE-EB3B-0380-7B4EF5640C97}"/>
                </a:ext>
              </a:extLst>
            </xdr:cNvPr>
            <xdr:cNvGrpSpPr/>
          </xdr:nvGrpSpPr>
          <xdr:grpSpPr>
            <a:xfrm>
              <a:off x="6762751" y="1359124"/>
              <a:ext cx="1440000" cy="720000"/>
              <a:chOff x="3495675" y="5400674"/>
              <a:chExt cx="1549476" cy="752476"/>
            </a:xfrm>
          </xdr:grpSpPr>
          <xdr:pic>
            <xdr:nvPicPr>
              <xdr:cNvPr id="19" name="Imagem 18">
                <a:extLst>
                  <a:ext uri="{FF2B5EF4-FFF2-40B4-BE49-F238E27FC236}">
                    <a16:creationId xmlns="" xmlns:a16="http://schemas.microsoft.com/office/drawing/2014/main" id="{B0CF571B-D3D1-7AD8-F100-6A3A279BE54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0" name="Gráfico 13">
                <a:extLst>
                  <a:ext uri="{FF2B5EF4-FFF2-40B4-BE49-F238E27FC236}">
                    <a16:creationId xmlns="" xmlns:a16="http://schemas.microsoft.com/office/drawing/2014/main" id="{A1F40A76-E1BB-A23E-B668-9F79247AB09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="" xmlns:asvg="http://schemas.microsoft.com/office/drawing/2016/SVG/main" r:embed="rId10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  <xdr:sp macro="" textlink="Calculos!E34">
          <xdr:nvSpPr>
            <xdr:cNvPr id="24" name="Retângulo de cantos arredondados 23"/>
            <xdr:cNvSpPr/>
          </xdr:nvSpPr>
          <xdr:spPr>
            <a:xfrm>
              <a:off x="8548007" y="1226917"/>
              <a:ext cx="1620000" cy="9000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A5E2A5B-3ADB-4D31-BD45-BD87248FAF1F}" type="TxLink">
                <a:rPr lang="en-US" sz="2000" b="0" i="0" u="none" strike="noStrike">
                  <a:solidFill>
                    <a:srgbClr val="33CC33"/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rPr>
                <a:t>R$ 940,00</a:t>
              </a:fld>
              <a:endParaRPr lang="pt-BR" sz="4000" b="0">
                <a:solidFill>
                  <a:srgbClr val="33CC33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</xdr:col>
      <xdr:colOff>324142</xdr:colOff>
      <xdr:row>11</xdr:row>
      <xdr:rowOff>138792</xdr:rowOff>
    </xdr:from>
    <xdr:to>
      <xdr:col>14</xdr:col>
      <xdr:colOff>519667</xdr:colOff>
      <xdr:row>32</xdr:row>
      <xdr:rowOff>41473</xdr:rowOff>
    </xdr:to>
    <xdr:grpSp>
      <xdr:nvGrpSpPr>
        <xdr:cNvPr id="36" name="Grupo 35"/>
        <xdr:cNvGrpSpPr/>
      </xdr:nvGrpSpPr>
      <xdr:grpSpPr>
        <a:xfrm>
          <a:off x="2210092" y="2834367"/>
          <a:ext cx="8568000" cy="3703156"/>
          <a:chOff x="2229143" y="2834367"/>
          <a:chExt cx="8531547" cy="3703156"/>
        </a:xfrm>
      </xdr:grpSpPr>
      <xdr:grpSp>
        <xdr:nvGrpSpPr>
          <xdr:cNvPr id="33" name="Grupo 32"/>
          <xdr:cNvGrpSpPr/>
        </xdr:nvGrpSpPr>
        <xdr:grpSpPr>
          <a:xfrm>
            <a:off x="2229143" y="2928575"/>
            <a:ext cx="8531547" cy="3608948"/>
            <a:chOff x="2241843" y="2614251"/>
            <a:chExt cx="8452625" cy="3482310"/>
          </a:xfrm>
        </xdr:grpSpPr>
        <xdr:sp macro="" textlink="">
          <xdr:nvSpPr>
            <xdr:cNvPr id="5" name="Retângulo de cantos arredondados 4"/>
            <xdr:cNvSpPr/>
          </xdr:nvSpPr>
          <xdr:spPr>
            <a:xfrm>
              <a:off x="2241843" y="2614251"/>
              <a:ext cx="7920000" cy="3299992"/>
            </a:xfrm>
            <a:prstGeom prst="roundRect">
              <a:avLst>
                <a:gd name="adj" fmla="val 665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266269" y="2936879"/>
            <a:ext cx="8428199" cy="31596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32" name="Arredondar Retângulo no Mesmo Canto Lateral 31"/>
          <xdr:cNvSpPr/>
        </xdr:nvSpPr>
        <xdr:spPr>
          <a:xfrm>
            <a:off x="2235199" y="2834367"/>
            <a:ext cx="7994840" cy="372700"/>
          </a:xfrm>
          <a:prstGeom prst="round2Same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526143</xdr:colOff>
      <xdr:row>0</xdr:row>
      <xdr:rowOff>163286</xdr:rowOff>
    </xdr:from>
    <xdr:to>
      <xdr:col>0</xdr:col>
      <xdr:colOff>1297668</xdr:colOff>
      <xdr:row>3</xdr:row>
      <xdr:rowOff>76654</xdr:rowOff>
    </xdr:to>
    <xdr:sp macro="" textlink="">
      <xdr:nvSpPr>
        <xdr:cNvPr id="34" name="Elipse 33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26143" y="163286"/>
          <a:ext cx="771525" cy="661761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54429</xdr:colOff>
      <xdr:row>3</xdr:row>
      <xdr:rowOff>281668</xdr:rowOff>
    </xdr:from>
    <xdr:to>
      <xdr:col>0</xdr:col>
      <xdr:colOff>1854429</xdr:colOff>
      <xdr:row>5</xdr:row>
      <xdr:rowOff>2989</xdr:rowOff>
    </xdr:to>
    <xdr:sp macro="" textlink="">
      <xdr:nvSpPr>
        <xdr:cNvPr id="35" name="Retângulo de cantos arredondados 34"/>
        <xdr:cNvSpPr/>
      </xdr:nvSpPr>
      <xdr:spPr>
        <a:xfrm>
          <a:off x="54429" y="1020536"/>
          <a:ext cx="1800000" cy="252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 i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</a:t>
          </a:r>
          <a:r>
            <a:rPr lang="pt-BR" sz="1400" b="1" i="0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vindo,</a:t>
          </a:r>
          <a:endParaRPr lang="pt-BR" sz="1400" b="1" i="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SONDA" refreshedDate="46051.617290393522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1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9:C12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1">
    <format dxfId="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5" name="tbl_annual_total1"/>
    <pivotTable tabId="5" name="tbl_easeasonpass_total"/>
    <pivotTable tabId="5" name="Tabela dinâmica2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Other2 2" rowHeight="241300"/>
</slicers>
</file>

<file path=xl/tables/table1.xml><?xml version="1.0" encoding="utf-8"?>
<table xmlns="http://schemas.openxmlformats.org/spreadsheetml/2006/main" id="1" name="Tabela1" displayName="Tabela1" ref="A1:M296" totalsRowShown="0" dataDxfId="17">
  <autoFilter ref="A1:M296">
    <filterColumn colId="4">
      <filters>
        <filter val="No"/>
      </filters>
    </filterColumn>
    <filterColumn colId="6">
      <filters>
        <filter val="Annual"/>
      </filters>
    </filterColumn>
  </autoFilter>
  <tableColumns count="13">
    <tableColumn id="1" name="Subscriber ID" dataDxfId="16"/>
    <tableColumn id="2" name="Name" dataDxfId="15"/>
    <tableColumn id="3" name="Plan" dataDxfId="14"/>
    <tableColumn id="4" name="Start Date" dataDxfId="13"/>
    <tableColumn id="5" name="Auto Renewal" dataDxfId="12"/>
    <tableColumn id="6" name="Subscription Price" dataDxfId="11" dataCellStyle="Moeda"/>
    <tableColumn id="7" name="Subscription Type" dataDxfId="10"/>
    <tableColumn id="8" name="EA Play Season Pass" dataDxfId="9"/>
    <tableColumn id="13" name="EA Play Season Pass_x000a_Price" dataDxfId="8" dataCellStyle="Moeda"/>
    <tableColumn id="9" name="Minecraft Season Pass" dataDxfId="7"/>
    <tableColumn id="10" name="Minecraft Season Pass Price" dataDxfId="6" dataCellStyle="Moeda"/>
    <tableColumn id="11" name="Coupon Value" dataDxfId="5" dataCellStyle="Moeda"/>
    <tableColumn id="12" name="Total Value" dataDxfId="4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M26" totalsRowShown="0">
  <autoFilter ref="A1:M26"/>
  <tableColumns count="13">
    <tableColumn id="1" name="Subscriber ID"/>
    <tableColumn id="2" name="Name"/>
    <tableColumn id="3" name="Plan"/>
    <tableColumn id="4" name="Start Date" dataDxfId="1"/>
    <tableColumn id="5" name="Auto Renewal"/>
    <tableColumn id="6" name="Subscription Price"/>
    <tableColumn id="7" name="Subscription Type"/>
    <tableColumn id="8" name="EA Play Season Pass"/>
    <tableColumn id="9" name="EA Play Season Pass_x000a_Price"/>
    <tableColumn id="10" name="Minecraft Season Pass"/>
    <tableColumn id="11" name="Minecraft Season Pass Price"/>
    <tableColumn id="12" name="Coupon Value"/>
    <tableColumn id="13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G4" zoomScaleNormal="100" workbookViewId="0">
      <selection activeCell="B8" sqref="B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L300" sqref="L300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5.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F1" workbookViewId="0">
      <selection activeCell="D15" sqref="D15"/>
    </sheetView>
  </sheetViews>
  <sheetFormatPr defaultRowHeight="14.25"/>
  <cols>
    <col min="1" max="1" width="14.875" customWidth="1"/>
    <col min="4" max="4" width="11.625" customWidth="1"/>
    <col min="5" max="5" width="14.875" customWidth="1"/>
    <col min="6" max="6" width="19.125" customWidth="1"/>
    <col min="7" max="7" width="18.875" customWidth="1"/>
    <col min="8" max="8" width="21.125" customWidth="1"/>
    <col min="10" max="10" width="23" customWidth="1"/>
    <col min="11" max="11" width="28.125" customWidth="1"/>
    <col min="12" max="12" width="15.125" customWidth="1"/>
    <col min="13" max="13" width="12.625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3493</v>
      </c>
      <c r="B2" t="s">
        <v>280</v>
      </c>
      <c r="C2" t="s">
        <v>18</v>
      </c>
      <c r="D2" s="22">
        <v>45610</v>
      </c>
      <c r="E2" t="s">
        <v>23</v>
      </c>
      <c r="F2">
        <v>15</v>
      </c>
      <c r="G2" t="s">
        <v>27</v>
      </c>
      <c r="H2" t="s">
        <v>19</v>
      </c>
      <c r="I2">
        <v>30</v>
      </c>
      <c r="J2" t="s">
        <v>19</v>
      </c>
      <c r="K2">
        <v>20</v>
      </c>
      <c r="L2">
        <v>20</v>
      </c>
      <c r="M2">
        <v>45</v>
      </c>
    </row>
    <row r="3" spans="1:13">
      <c r="A3">
        <v>3489</v>
      </c>
      <c r="B3" t="s">
        <v>276</v>
      </c>
      <c r="C3" t="s">
        <v>22</v>
      </c>
      <c r="D3" s="22">
        <v>45606</v>
      </c>
      <c r="E3" t="s">
        <v>23</v>
      </c>
      <c r="F3">
        <v>5</v>
      </c>
      <c r="G3" t="s">
        <v>27</v>
      </c>
      <c r="H3" t="s">
        <v>23</v>
      </c>
      <c r="I3" t="s">
        <v>311</v>
      </c>
      <c r="J3" t="s">
        <v>23</v>
      </c>
      <c r="K3">
        <v>0</v>
      </c>
      <c r="L3">
        <v>1</v>
      </c>
      <c r="M3">
        <v>4</v>
      </c>
    </row>
    <row r="4" spans="1:13">
      <c r="A4">
        <v>3487</v>
      </c>
      <c r="B4" t="s">
        <v>274</v>
      </c>
      <c r="C4" t="s">
        <v>18</v>
      </c>
      <c r="D4" s="22">
        <v>45604</v>
      </c>
      <c r="E4" t="s">
        <v>23</v>
      </c>
      <c r="F4">
        <v>15</v>
      </c>
      <c r="G4" t="s">
        <v>27</v>
      </c>
      <c r="H4" t="s">
        <v>19</v>
      </c>
      <c r="I4">
        <v>30</v>
      </c>
      <c r="J4" t="s">
        <v>19</v>
      </c>
      <c r="K4">
        <v>20</v>
      </c>
      <c r="L4">
        <v>7</v>
      </c>
      <c r="M4">
        <v>58</v>
      </c>
    </row>
    <row r="5" spans="1:13">
      <c r="A5">
        <v>3443</v>
      </c>
      <c r="B5" t="s">
        <v>235</v>
      </c>
      <c r="C5" t="s">
        <v>18</v>
      </c>
      <c r="D5" s="22">
        <v>45560</v>
      </c>
      <c r="E5" t="s">
        <v>23</v>
      </c>
      <c r="F5">
        <v>15</v>
      </c>
      <c r="G5" t="s">
        <v>27</v>
      </c>
      <c r="H5" t="s">
        <v>19</v>
      </c>
      <c r="I5">
        <v>30</v>
      </c>
      <c r="J5" t="s">
        <v>19</v>
      </c>
      <c r="K5">
        <v>20</v>
      </c>
      <c r="L5">
        <v>20</v>
      </c>
      <c r="M5">
        <v>45</v>
      </c>
    </row>
    <row r="6" spans="1:13">
      <c r="A6">
        <v>3439</v>
      </c>
      <c r="B6" t="s">
        <v>231</v>
      </c>
      <c r="C6" t="s">
        <v>22</v>
      </c>
      <c r="D6" s="22">
        <v>45556</v>
      </c>
      <c r="E6" t="s">
        <v>23</v>
      </c>
      <c r="F6">
        <v>5</v>
      </c>
      <c r="G6" t="s">
        <v>27</v>
      </c>
      <c r="H6" t="s">
        <v>23</v>
      </c>
      <c r="I6" t="s">
        <v>311</v>
      </c>
      <c r="J6" t="s">
        <v>23</v>
      </c>
      <c r="K6">
        <v>0</v>
      </c>
      <c r="L6">
        <v>1</v>
      </c>
      <c r="M6">
        <v>4</v>
      </c>
    </row>
    <row r="7" spans="1:13">
      <c r="A7">
        <v>3437</v>
      </c>
      <c r="B7" t="s">
        <v>229</v>
      </c>
      <c r="C7" t="s">
        <v>18</v>
      </c>
      <c r="D7" s="22">
        <v>45554</v>
      </c>
      <c r="E7" t="s">
        <v>23</v>
      </c>
      <c r="F7">
        <v>15</v>
      </c>
      <c r="G7" t="s">
        <v>27</v>
      </c>
      <c r="H7" t="s">
        <v>19</v>
      </c>
      <c r="I7">
        <v>30</v>
      </c>
      <c r="J7" t="s">
        <v>19</v>
      </c>
      <c r="K7">
        <v>20</v>
      </c>
      <c r="L7">
        <v>7</v>
      </c>
      <c r="M7">
        <v>58</v>
      </c>
    </row>
    <row r="8" spans="1:13">
      <c r="A8">
        <v>3413</v>
      </c>
      <c r="B8" t="s">
        <v>208</v>
      </c>
      <c r="C8" t="s">
        <v>18</v>
      </c>
      <c r="D8" s="22">
        <v>45530</v>
      </c>
      <c r="E8" t="s">
        <v>23</v>
      </c>
      <c r="F8">
        <v>15</v>
      </c>
      <c r="G8" t="s">
        <v>27</v>
      </c>
      <c r="H8" t="s">
        <v>19</v>
      </c>
      <c r="I8">
        <v>30</v>
      </c>
      <c r="J8" t="s">
        <v>19</v>
      </c>
      <c r="K8">
        <v>20</v>
      </c>
      <c r="L8">
        <v>20</v>
      </c>
      <c r="M8">
        <v>45</v>
      </c>
    </row>
    <row r="9" spans="1:13">
      <c r="A9">
        <v>3409</v>
      </c>
      <c r="B9" t="s">
        <v>204</v>
      </c>
      <c r="C9" t="s">
        <v>22</v>
      </c>
      <c r="D9" s="22">
        <v>45526</v>
      </c>
      <c r="E9" t="s">
        <v>23</v>
      </c>
      <c r="F9">
        <v>5</v>
      </c>
      <c r="G9" t="s">
        <v>27</v>
      </c>
      <c r="H9" t="s">
        <v>23</v>
      </c>
      <c r="I9" t="s">
        <v>311</v>
      </c>
      <c r="J9" t="s">
        <v>23</v>
      </c>
      <c r="K9">
        <v>0</v>
      </c>
      <c r="L9">
        <v>1</v>
      </c>
      <c r="M9">
        <v>4</v>
      </c>
    </row>
    <row r="10" spans="1:13">
      <c r="A10">
        <v>3407</v>
      </c>
      <c r="B10" t="s">
        <v>202</v>
      </c>
      <c r="C10" t="s">
        <v>18</v>
      </c>
      <c r="D10" s="22">
        <v>45524</v>
      </c>
      <c r="E10" t="s">
        <v>23</v>
      </c>
      <c r="F10">
        <v>15</v>
      </c>
      <c r="G10" t="s">
        <v>27</v>
      </c>
      <c r="H10" t="s">
        <v>19</v>
      </c>
      <c r="I10">
        <v>30</v>
      </c>
      <c r="J10" t="s">
        <v>19</v>
      </c>
      <c r="K10">
        <v>20</v>
      </c>
      <c r="L10">
        <v>7</v>
      </c>
      <c r="M10">
        <v>58</v>
      </c>
    </row>
    <row r="11" spans="1:13">
      <c r="A11">
        <v>3373</v>
      </c>
      <c r="B11" t="s">
        <v>170</v>
      </c>
      <c r="C11" t="s">
        <v>18</v>
      </c>
      <c r="D11" s="22">
        <v>45490</v>
      </c>
      <c r="E11" t="s">
        <v>23</v>
      </c>
      <c r="F11">
        <v>15</v>
      </c>
      <c r="G11" t="s">
        <v>27</v>
      </c>
      <c r="H11" t="s">
        <v>19</v>
      </c>
      <c r="I11">
        <v>30</v>
      </c>
      <c r="J11" t="s">
        <v>19</v>
      </c>
      <c r="K11">
        <v>20</v>
      </c>
      <c r="L11">
        <v>20</v>
      </c>
      <c r="M11">
        <v>45</v>
      </c>
    </row>
    <row r="12" spans="1:13">
      <c r="A12">
        <v>3369</v>
      </c>
      <c r="B12" t="s">
        <v>166</v>
      </c>
      <c r="C12" t="s">
        <v>22</v>
      </c>
      <c r="D12" s="22">
        <v>45486</v>
      </c>
      <c r="E12" t="s">
        <v>23</v>
      </c>
      <c r="F12">
        <v>5</v>
      </c>
      <c r="G12" t="s">
        <v>27</v>
      </c>
      <c r="H12" t="s">
        <v>23</v>
      </c>
      <c r="I12" t="s">
        <v>311</v>
      </c>
      <c r="J12" t="s">
        <v>23</v>
      </c>
      <c r="K12">
        <v>0</v>
      </c>
      <c r="L12">
        <v>1</v>
      </c>
      <c r="M12">
        <v>4</v>
      </c>
    </row>
    <row r="13" spans="1:13">
      <c r="A13">
        <v>3367</v>
      </c>
      <c r="B13" t="s">
        <v>164</v>
      </c>
      <c r="C13" t="s">
        <v>18</v>
      </c>
      <c r="D13" s="22">
        <v>45484</v>
      </c>
      <c r="E13" t="s">
        <v>23</v>
      </c>
      <c r="F13">
        <v>15</v>
      </c>
      <c r="G13" t="s">
        <v>27</v>
      </c>
      <c r="H13" t="s">
        <v>19</v>
      </c>
      <c r="I13">
        <v>30</v>
      </c>
      <c r="J13" t="s">
        <v>19</v>
      </c>
      <c r="K13">
        <v>20</v>
      </c>
      <c r="L13">
        <v>7</v>
      </c>
      <c r="M13">
        <v>58</v>
      </c>
    </row>
    <row r="14" spans="1:13">
      <c r="A14">
        <v>3343</v>
      </c>
      <c r="B14" t="s">
        <v>141</v>
      </c>
      <c r="C14" t="s">
        <v>18</v>
      </c>
      <c r="D14" s="22">
        <v>45460</v>
      </c>
      <c r="E14" t="s">
        <v>23</v>
      </c>
      <c r="F14">
        <v>15</v>
      </c>
      <c r="G14" t="s">
        <v>27</v>
      </c>
      <c r="H14" t="s">
        <v>19</v>
      </c>
      <c r="I14">
        <v>30</v>
      </c>
      <c r="J14" t="s">
        <v>19</v>
      </c>
      <c r="K14">
        <v>20</v>
      </c>
      <c r="L14">
        <v>20</v>
      </c>
      <c r="M14">
        <v>45</v>
      </c>
    </row>
    <row r="15" spans="1:13">
      <c r="A15">
        <v>3339</v>
      </c>
      <c r="B15" t="s">
        <v>137</v>
      </c>
      <c r="C15" t="s">
        <v>22</v>
      </c>
      <c r="D15" s="22">
        <v>45456</v>
      </c>
      <c r="E15" t="s">
        <v>23</v>
      </c>
      <c r="F15">
        <v>5</v>
      </c>
      <c r="G15" t="s">
        <v>27</v>
      </c>
      <c r="H15" t="s">
        <v>23</v>
      </c>
      <c r="I15" t="s">
        <v>311</v>
      </c>
      <c r="J15" t="s">
        <v>23</v>
      </c>
      <c r="K15">
        <v>0</v>
      </c>
      <c r="L15">
        <v>1</v>
      </c>
      <c r="M15">
        <v>4</v>
      </c>
    </row>
    <row r="16" spans="1:13">
      <c r="A16">
        <v>3337</v>
      </c>
      <c r="B16" t="s">
        <v>135</v>
      </c>
      <c r="C16" t="s">
        <v>18</v>
      </c>
      <c r="D16" s="22">
        <v>45454</v>
      </c>
      <c r="E16" t="s">
        <v>23</v>
      </c>
      <c r="F16">
        <v>15</v>
      </c>
      <c r="G16" t="s">
        <v>27</v>
      </c>
      <c r="H16" t="s">
        <v>19</v>
      </c>
      <c r="I16">
        <v>30</v>
      </c>
      <c r="J16" t="s">
        <v>19</v>
      </c>
      <c r="K16">
        <v>20</v>
      </c>
      <c r="L16">
        <v>7</v>
      </c>
      <c r="M16">
        <v>58</v>
      </c>
    </row>
    <row r="17" spans="1:13">
      <c r="A17">
        <v>3334</v>
      </c>
      <c r="B17" t="s">
        <v>132</v>
      </c>
      <c r="C17" t="s">
        <v>26</v>
      </c>
      <c r="D17" s="22">
        <v>45451</v>
      </c>
      <c r="E17" t="s">
        <v>23</v>
      </c>
      <c r="F17">
        <v>10</v>
      </c>
      <c r="G17" t="s">
        <v>27</v>
      </c>
      <c r="H17" t="s">
        <v>23</v>
      </c>
      <c r="I17" t="s">
        <v>311</v>
      </c>
      <c r="J17" t="s">
        <v>19</v>
      </c>
      <c r="K17">
        <v>20</v>
      </c>
      <c r="L17">
        <v>12</v>
      </c>
      <c r="M17">
        <v>18</v>
      </c>
    </row>
    <row r="18" spans="1:13">
      <c r="A18">
        <v>3324</v>
      </c>
      <c r="B18" t="s">
        <v>122</v>
      </c>
      <c r="C18" t="s">
        <v>18</v>
      </c>
      <c r="D18" s="22">
        <v>45441</v>
      </c>
      <c r="E18" t="s">
        <v>23</v>
      </c>
      <c r="F18">
        <v>15</v>
      </c>
      <c r="G18" t="s">
        <v>27</v>
      </c>
      <c r="H18" t="s">
        <v>19</v>
      </c>
      <c r="I18">
        <v>30</v>
      </c>
      <c r="J18" t="s">
        <v>19</v>
      </c>
      <c r="K18">
        <v>20</v>
      </c>
      <c r="L18">
        <v>20</v>
      </c>
      <c r="M18">
        <v>45</v>
      </c>
    </row>
    <row r="19" spans="1:13">
      <c r="A19">
        <v>3320</v>
      </c>
      <c r="B19" t="s">
        <v>118</v>
      </c>
      <c r="C19" t="s">
        <v>22</v>
      </c>
      <c r="D19" s="22">
        <v>45437</v>
      </c>
      <c r="E19" t="s">
        <v>23</v>
      </c>
      <c r="F19">
        <v>5</v>
      </c>
      <c r="G19" t="s">
        <v>27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>
      <c r="A20">
        <v>3316</v>
      </c>
      <c r="B20" t="s">
        <v>114</v>
      </c>
      <c r="C20" t="s">
        <v>26</v>
      </c>
      <c r="D20" s="22">
        <v>45433</v>
      </c>
      <c r="E20" t="s">
        <v>23</v>
      </c>
      <c r="F20">
        <v>10</v>
      </c>
      <c r="G20" t="s">
        <v>27</v>
      </c>
      <c r="H20" t="s">
        <v>23</v>
      </c>
      <c r="I20" t="s">
        <v>311</v>
      </c>
      <c r="J20" t="s">
        <v>19</v>
      </c>
      <c r="K20">
        <v>20</v>
      </c>
      <c r="L20">
        <v>15</v>
      </c>
      <c r="M20">
        <v>15</v>
      </c>
    </row>
    <row r="21" spans="1:13">
      <c r="A21">
        <v>3312</v>
      </c>
      <c r="B21" t="s">
        <v>110</v>
      </c>
      <c r="C21" t="s">
        <v>18</v>
      </c>
      <c r="D21" s="22">
        <v>45429</v>
      </c>
      <c r="E21" t="s">
        <v>23</v>
      </c>
      <c r="F21">
        <v>15</v>
      </c>
      <c r="G21" t="s">
        <v>27</v>
      </c>
      <c r="H21" t="s">
        <v>19</v>
      </c>
      <c r="I21">
        <v>30</v>
      </c>
      <c r="J21" t="s">
        <v>19</v>
      </c>
      <c r="K21">
        <v>20</v>
      </c>
      <c r="L21">
        <v>7</v>
      </c>
      <c r="M21">
        <v>58</v>
      </c>
    </row>
    <row r="22" spans="1:13">
      <c r="A22">
        <v>3308</v>
      </c>
      <c r="B22" t="s">
        <v>106</v>
      </c>
      <c r="C22" t="s">
        <v>22</v>
      </c>
      <c r="D22" s="22">
        <v>45425</v>
      </c>
      <c r="E22" t="s">
        <v>23</v>
      </c>
      <c r="F22">
        <v>5</v>
      </c>
      <c r="G22" t="s">
        <v>27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>
      <c r="A23">
        <v>3304</v>
      </c>
      <c r="B23" t="s">
        <v>102</v>
      </c>
      <c r="C23" t="s">
        <v>26</v>
      </c>
      <c r="D23" s="22">
        <v>45421</v>
      </c>
      <c r="E23" t="s">
        <v>23</v>
      </c>
      <c r="F23">
        <v>10</v>
      </c>
      <c r="G23" t="s">
        <v>27</v>
      </c>
      <c r="H23" t="s">
        <v>23</v>
      </c>
      <c r="I23" t="s">
        <v>311</v>
      </c>
      <c r="J23" t="s">
        <v>19</v>
      </c>
      <c r="K23">
        <v>20</v>
      </c>
      <c r="L23">
        <v>12</v>
      </c>
      <c r="M23">
        <v>18</v>
      </c>
    </row>
    <row r="24" spans="1:13">
      <c r="A24">
        <v>3273</v>
      </c>
      <c r="B24" t="s">
        <v>71</v>
      </c>
      <c r="C24" t="s">
        <v>18</v>
      </c>
      <c r="D24" s="22">
        <v>45390</v>
      </c>
      <c r="E24" t="s">
        <v>23</v>
      </c>
      <c r="F24">
        <v>15</v>
      </c>
      <c r="G24" t="s">
        <v>27</v>
      </c>
      <c r="H24" t="s">
        <v>19</v>
      </c>
      <c r="I24">
        <v>30</v>
      </c>
      <c r="J24" t="s">
        <v>19</v>
      </c>
      <c r="K24">
        <v>20</v>
      </c>
      <c r="L24">
        <v>20</v>
      </c>
      <c r="M24">
        <v>45</v>
      </c>
    </row>
    <row r="25" spans="1:13">
      <c r="A25">
        <v>3269</v>
      </c>
      <c r="B25" t="s">
        <v>67</v>
      </c>
      <c r="C25" t="s">
        <v>22</v>
      </c>
      <c r="D25" s="22">
        <v>45386</v>
      </c>
      <c r="E25" t="s">
        <v>23</v>
      </c>
      <c r="F25">
        <v>5</v>
      </c>
      <c r="G25" t="s">
        <v>27</v>
      </c>
      <c r="H25" t="s">
        <v>23</v>
      </c>
      <c r="I25" t="s">
        <v>311</v>
      </c>
      <c r="J25" t="s">
        <v>23</v>
      </c>
      <c r="K25">
        <v>0</v>
      </c>
      <c r="L25">
        <v>1</v>
      </c>
      <c r="M25">
        <v>4</v>
      </c>
    </row>
    <row r="26" spans="1:13">
      <c r="A26">
        <v>3267</v>
      </c>
      <c r="B26" t="s">
        <v>65</v>
      </c>
      <c r="C26" t="s">
        <v>18</v>
      </c>
      <c r="D26" s="22">
        <v>45384</v>
      </c>
      <c r="E26" t="s">
        <v>23</v>
      </c>
      <c r="F26">
        <v>15</v>
      </c>
      <c r="G26" t="s">
        <v>27</v>
      </c>
      <c r="H26" t="s">
        <v>19</v>
      </c>
      <c r="I26">
        <v>30</v>
      </c>
      <c r="J26" t="s">
        <v>19</v>
      </c>
      <c r="K26">
        <v>20</v>
      </c>
      <c r="L26">
        <v>7</v>
      </c>
      <c r="M26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opLeftCell="B13" zoomScale="80" zoomScaleNormal="80" workbookViewId="0">
      <selection activeCell="E37" sqref="E37"/>
    </sheetView>
  </sheetViews>
  <sheetFormatPr defaultRowHeight="14.25"/>
  <cols>
    <col min="2" max="2" width="18.375" customWidth="1"/>
    <col min="3" max="3" width="35.875" customWidth="1"/>
    <col min="4" max="4" width="19.875" bestFit="1" customWidth="1"/>
    <col min="5" max="5" width="11.5" bestFit="1" customWidth="1"/>
  </cols>
  <sheetData>
    <row r="2" spans="2:6" ht="15.75">
      <c r="B2" s="15" t="s">
        <v>313</v>
      </c>
      <c r="C2" s="16"/>
      <c r="D2" s="16"/>
      <c r="E2" s="16"/>
      <c r="F2" s="14"/>
    </row>
    <row r="3" spans="2:6" ht="15.75">
      <c r="B3" s="16"/>
      <c r="C3" s="16"/>
      <c r="D3" s="16"/>
      <c r="E3" s="16"/>
      <c r="F3" s="14"/>
    </row>
    <row r="4" spans="2:6" ht="15.75">
      <c r="B4" s="16" t="s">
        <v>317</v>
      </c>
      <c r="C4" s="16"/>
      <c r="D4" s="16"/>
      <c r="E4" s="16"/>
      <c r="F4" s="14"/>
    </row>
    <row r="5" spans="2:6" ht="15.75">
      <c r="B5" s="16" t="s">
        <v>318</v>
      </c>
      <c r="C5" s="16"/>
      <c r="D5" s="16"/>
      <c r="E5" s="16"/>
    </row>
    <row r="6" spans="2:6" ht="15.75">
      <c r="B6" s="16"/>
      <c r="C6" s="16"/>
      <c r="D6" s="16"/>
      <c r="E6" s="16"/>
    </row>
    <row r="7" spans="2:6">
      <c r="B7" s="12" t="s">
        <v>16</v>
      </c>
      <c r="C7" t="s">
        <v>24</v>
      </c>
    </row>
    <row r="9" spans="2:6">
      <c r="B9" s="12" t="s">
        <v>314</v>
      </c>
      <c r="C9" t="s">
        <v>316</v>
      </c>
    </row>
    <row r="10" spans="2:6">
      <c r="B10" s="13" t="s">
        <v>23</v>
      </c>
      <c r="C10" s="17">
        <v>217</v>
      </c>
    </row>
    <row r="11" spans="2:6">
      <c r="B11" s="13" t="s">
        <v>19</v>
      </c>
      <c r="C11" s="17">
        <v>1537</v>
      </c>
    </row>
    <row r="12" spans="2:6">
      <c r="B12" s="13" t="s">
        <v>315</v>
      </c>
      <c r="C12" s="17">
        <v>1754</v>
      </c>
    </row>
    <row r="13" spans="2:6">
      <c r="B13" s="13"/>
      <c r="C13" s="17"/>
    </row>
    <row r="15" spans="2:6" ht="15">
      <c r="B15" s="21" t="s">
        <v>320</v>
      </c>
    </row>
    <row r="17" spans="2:5">
      <c r="B17" s="12" t="s">
        <v>16</v>
      </c>
      <c r="C17" t="s">
        <v>24</v>
      </c>
    </row>
    <row r="19" spans="2:5">
      <c r="B19" s="12" t="s">
        <v>314</v>
      </c>
      <c r="C19" t="s">
        <v>319</v>
      </c>
    </row>
    <row r="20" spans="2:5">
      <c r="B20" s="13" t="s">
        <v>22</v>
      </c>
      <c r="C20" s="17">
        <v>0</v>
      </c>
    </row>
    <row r="21" spans="2:5">
      <c r="B21" s="13" t="s">
        <v>26</v>
      </c>
      <c r="C21" s="17">
        <v>0</v>
      </c>
    </row>
    <row r="22" spans="2:5">
      <c r="B22" s="13" t="s">
        <v>18</v>
      </c>
      <c r="C22" s="17">
        <v>600</v>
      </c>
    </row>
    <row r="23" spans="2:5">
      <c r="B23" s="13" t="s">
        <v>315</v>
      </c>
      <c r="C23" s="17">
        <v>600</v>
      </c>
      <c r="E23" s="23">
        <f>GETPIVOTDATA("EA Play Season Pass
Price",$B$19)</f>
        <v>600</v>
      </c>
    </row>
    <row r="26" spans="2:5" ht="15">
      <c r="B26" s="30" t="s">
        <v>321</v>
      </c>
    </row>
    <row r="28" spans="2:5">
      <c r="B28" s="12" t="s">
        <v>16</v>
      </c>
      <c r="C28" t="s">
        <v>24</v>
      </c>
    </row>
    <row r="30" spans="2:5">
      <c r="B30" s="12" t="s">
        <v>314</v>
      </c>
      <c r="C30" t="s">
        <v>322</v>
      </c>
    </row>
    <row r="31" spans="2:5">
      <c r="B31" s="13" t="s">
        <v>22</v>
      </c>
      <c r="C31" s="17">
        <v>0</v>
      </c>
    </row>
    <row r="32" spans="2:5">
      <c r="B32" s="13" t="s">
        <v>26</v>
      </c>
      <c r="C32" s="17">
        <v>540</v>
      </c>
    </row>
    <row r="33" spans="2:5">
      <c r="B33" s="13" t="s">
        <v>18</v>
      </c>
      <c r="C33" s="17">
        <v>400</v>
      </c>
    </row>
    <row r="34" spans="2:5">
      <c r="B34" s="13" t="s">
        <v>315</v>
      </c>
      <c r="C34" s="17">
        <v>940</v>
      </c>
      <c r="E34" s="23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showGridLines="0" showRowColHeaders="0" tabSelected="1" zoomScaleNormal="100" workbookViewId="0">
      <selection activeCell="C3" sqref="C3"/>
    </sheetView>
  </sheetViews>
  <sheetFormatPr defaultRowHeight="14.25"/>
  <cols>
    <col min="1" max="1" width="24.75" style="6" customWidth="1"/>
    <col min="2" max="2" width="6.375" customWidth="1"/>
    <col min="3" max="15" width="8.625" customWidth="1"/>
  </cols>
  <sheetData>
    <row r="1" spans="1:19" ht="21.75" customHeight="1"/>
    <row r="2" spans="1:19" s="19" customFormat="1" ht="24" customHeight="1" thickBot="1">
      <c r="A2" s="18"/>
      <c r="C2" s="27" t="s">
        <v>324</v>
      </c>
      <c r="D2" s="26"/>
      <c r="E2" s="26"/>
      <c r="F2" s="26"/>
      <c r="G2" s="26"/>
      <c r="H2" s="28"/>
      <c r="I2" s="28"/>
      <c r="J2" s="29"/>
      <c r="K2" s="29"/>
      <c r="L2" s="29"/>
      <c r="M2" s="29"/>
      <c r="N2" s="29"/>
      <c r="O2" s="25"/>
    </row>
    <row r="3" spans="1:19" ht="20.25" customHeight="1" thickTop="1"/>
    <row r="4" spans="1:19" ht="27.75" customHeight="1">
      <c r="B4" s="20"/>
      <c r="C4" s="32" t="s">
        <v>323</v>
      </c>
      <c r="D4" s="31"/>
      <c r="E4" s="31"/>
      <c r="F4" s="31"/>
      <c r="G4" s="31"/>
      <c r="H4" s="31"/>
      <c r="I4" s="31"/>
      <c r="J4" s="31"/>
      <c r="K4" s="20"/>
      <c r="L4" s="20"/>
      <c r="M4" s="20"/>
      <c r="N4" s="20"/>
      <c r="O4" s="20"/>
      <c r="P4" s="20"/>
      <c r="Q4" s="20"/>
      <c r="R4" s="20"/>
      <c r="S4" s="20"/>
    </row>
    <row r="5" spans="1:19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33" customHeight="1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4"/>
      <c r="S7" s="20"/>
    </row>
    <row r="8" spans="1:19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2:19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2:19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2:19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2:19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2:19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2:19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2:19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2:19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2:19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2:19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2:19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2:19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2:19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2:19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2:19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2:19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2:19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2:19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2:19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2:19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2:19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2:19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19483571-f922-4e8e-9c1c-26f0a2252132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851b35d3-0456-4d6a-bc2f-da927e91d158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Gráficos</vt:lpstr>
      </vt:variant>
      <vt:variant>
        <vt:i4>1</vt:i4>
      </vt:variant>
    </vt:vector>
  </HeadingPairs>
  <TitlesOfParts>
    <vt:vector size="6" baseType="lpstr">
      <vt:lpstr>A̳ssets</vt:lpstr>
      <vt:lpstr>B̳ases</vt:lpstr>
      <vt:lpstr>Plan1</vt:lpstr>
      <vt:lpstr>Calculos</vt:lpstr>
      <vt:lpstr>D̳ashboard</vt:lpstr>
      <vt:lpstr>Gráf1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BRSONDA</cp:lastModifiedBy>
  <dcterms:created xsi:type="dcterms:W3CDTF">2024-12-19T13:13:10Z</dcterms:created>
  <dcterms:modified xsi:type="dcterms:W3CDTF">2026-01-30T15:32:33Z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